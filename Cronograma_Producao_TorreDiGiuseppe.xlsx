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Programação - Não apagar - Joice\passold-dashbord\"/>
    </mc:Choice>
  </mc:AlternateContent>
  <xr:revisionPtr revIDLastSave="0" documentId="13_ncr:1_{093F7F75-8BF3-453F-AA0E-A73A0408F4D7}" xr6:coauthVersionLast="47" xr6:coauthVersionMax="47" xr10:uidLastSave="{00000000-0000-0000-0000-000000000000}"/>
  <bookViews>
    <workbookView xWindow="20370" yWindow="-120" windowWidth="19440" windowHeight="11640" xr2:uid="{00000000-000D-0000-FFFF-FFFF00000000}"/>
  </bookViews>
  <sheets>
    <sheet name="Resumo do Plano" sheetId="1" r:id="rId1"/>
    <sheet name="Lotes por Pavimento" sheetId="2" r:id="rId2"/>
    <sheet name="Acompanhamento Seman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J29" i="3"/>
  <c r="H29" i="3"/>
  <c r="E29" i="3"/>
  <c r="J28" i="3"/>
  <c r="H28" i="3"/>
  <c r="E28" i="3"/>
  <c r="J27" i="3"/>
  <c r="H27" i="3"/>
  <c r="E27" i="3"/>
  <c r="J26" i="3"/>
  <c r="H26" i="3"/>
  <c r="E26" i="3"/>
  <c r="J25" i="3"/>
  <c r="H25" i="3"/>
  <c r="E25" i="3"/>
  <c r="J24" i="3"/>
  <c r="H24" i="3"/>
  <c r="E24" i="3"/>
  <c r="J23" i="3"/>
  <c r="H23" i="3"/>
  <c r="E23" i="3"/>
  <c r="J22" i="3"/>
  <c r="H22" i="3"/>
  <c r="E22" i="3"/>
  <c r="J21" i="3"/>
  <c r="H21" i="3"/>
  <c r="E21" i="3"/>
  <c r="J20" i="3"/>
  <c r="H20" i="3"/>
  <c r="E20" i="3"/>
  <c r="J19" i="3"/>
  <c r="H19" i="3"/>
  <c r="E19" i="3"/>
  <c r="J18" i="3"/>
  <c r="H18" i="3"/>
  <c r="E18" i="3"/>
  <c r="J17" i="3"/>
  <c r="H17" i="3"/>
  <c r="E17" i="3"/>
  <c r="J16" i="3"/>
  <c r="H16" i="3"/>
  <c r="E16" i="3"/>
  <c r="J15" i="3"/>
  <c r="H15" i="3"/>
  <c r="E15" i="3"/>
  <c r="J14" i="3"/>
  <c r="H14" i="3"/>
  <c r="E14" i="3"/>
  <c r="J13" i="3"/>
  <c r="H13" i="3"/>
  <c r="E13" i="3"/>
  <c r="J12" i="3"/>
  <c r="H12" i="3"/>
  <c r="E12" i="3"/>
  <c r="J11" i="3"/>
  <c r="H11" i="3"/>
  <c r="E11" i="3"/>
  <c r="J10" i="3"/>
  <c r="H10" i="3"/>
  <c r="E10" i="3"/>
  <c r="J9" i="3"/>
  <c r="H9" i="3"/>
  <c r="E9" i="3"/>
  <c r="F29" i="3" s="1"/>
  <c r="C9" i="3"/>
  <c r="D9" i="3" s="1"/>
  <c r="C10" i="3" s="1"/>
  <c r="D10" i="3" s="1"/>
  <c r="C11" i="3" s="1"/>
  <c r="D11" i="3" s="1"/>
  <c r="C12" i="3" s="1"/>
  <c r="D12" i="3" s="1"/>
  <c r="C13" i="3" s="1"/>
  <c r="D13" i="3" s="1"/>
  <c r="C14" i="3" s="1"/>
  <c r="D14" i="3" s="1"/>
  <c r="C15" i="3" s="1"/>
  <c r="D15" i="3" s="1"/>
  <c r="C16" i="3" s="1"/>
  <c r="D16" i="3" s="1"/>
  <c r="C17" i="3" s="1"/>
  <c r="D17" i="3" s="1"/>
  <c r="C18" i="3" s="1"/>
  <c r="D18" i="3" s="1"/>
  <c r="C19" i="3" s="1"/>
  <c r="D19" i="3" s="1"/>
  <c r="C20" i="3" s="1"/>
  <c r="D20" i="3" s="1"/>
  <c r="C21" i="3" s="1"/>
  <c r="D21" i="3" s="1"/>
  <c r="C22" i="3" s="1"/>
  <c r="D22" i="3" s="1"/>
  <c r="C23" i="3" s="1"/>
  <c r="D23" i="3" s="1"/>
  <c r="C24" i="3" s="1"/>
  <c r="D24" i="3" s="1"/>
  <c r="C25" i="3" s="1"/>
  <c r="D25" i="3" s="1"/>
  <c r="C26" i="3" s="1"/>
  <c r="D26" i="3" s="1"/>
  <c r="C27" i="3" s="1"/>
  <c r="D27" i="3" s="1"/>
  <c r="C28" i="3" s="1"/>
  <c r="D28" i="3" s="1"/>
  <c r="C29" i="3" s="1"/>
  <c r="D29" i="3" s="1"/>
  <c r="E10" i="1"/>
  <c r="C13" i="1" s="1"/>
  <c r="D10" i="1"/>
  <c r="C10" i="1"/>
  <c r="F9" i="1"/>
  <c r="F8" i="1"/>
  <c r="F7" i="1"/>
  <c r="F6" i="1"/>
  <c r="I29" i="3" l="1"/>
  <c r="I24" i="3"/>
  <c r="F12" i="3"/>
  <c r="I12" i="3" s="1"/>
  <c r="F16" i="3"/>
  <c r="I16" i="3" s="1"/>
  <c r="F20" i="3"/>
  <c r="I20" i="3" s="1"/>
  <c r="F24" i="3"/>
  <c r="F28" i="3"/>
  <c r="I28" i="3" s="1"/>
  <c r="F11" i="3"/>
  <c r="I11" i="3" s="1"/>
  <c r="F15" i="3"/>
  <c r="I15" i="3" s="1"/>
  <c r="F19" i="3"/>
  <c r="I19" i="3" s="1"/>
  <c r="F23" i="3"/>
  <c r="I23" i="3" s="1"/>
  <c r="F27" i="3"/>
  <c r="I27" i="3" s="1"/>
  <c r="F10" i="1"/>
  <c r="F10" i="3"/>
  <c r="I10" i="3" s="1"/>
  <c r="F14" i="3"/>
  <c r="I14" i="3" s="1"/>
  <c r="F18" i="3"/>
  <c r="I18" i="3" s="1"/>
  <c r="F22" i="3"/>
  <c r="I22" i="3" s="1"/>
  <c r="F26" i="3"/>
  <c r="I26" i="3" s="1"/>
  <c r="F9" i="3"/>
  <c r="I9" i="3" s="1"/>
  <c r="F13" i="3"/>
  <c r="I13" i="3" s="1"/>
  <c r="F17" i="3"/>
  <c r="I17" i="3" s="1"/>
  <c r="F21" i="3"/>
  <c r="I21" i="3" s="1"/>
  <c r="F25" i="3"/>
  <c r="I25" i="3" s="1"/>
</calcChain>
</file>

<file path=xl/sharedStrings.xml><?xml version="1.0" encoding="utf-8"?>
<sst xmlns="http://schemas.openxmlformats.org/spreadsheetml/2006/main" count="83" uniqueCount="49">
  <si>
    <t>Torre di Giuseppe — Cronograma de Fabricação</t>
  </si>
  <si>
    <t>Prazo final de entrega: 01/12/2026</t>
  </si>
  <si>
    <t>Etapa</t>
  </si>
  <si>
    <t>m² Total</t>
  </si>
  <si>
    <t>Início Previsto</t>
  </si>
  <si>
    <t>Fim Previsto</t>
  </si>
  <si>
    <t>Duração (semanas)</t>
  </si>
  <si>
    <t>Torre Norte</t>
  </si>
  <si>
    <t>Torre Sul</t>
  </si>
  <si>
    <t>Torre Oeste</t>
  </si>
  <si>
    <t>Embasamento</t>
  </si>
  <si>
    <t>TOTAL</t>
  </si>
  <si>
    <t>Prazo final (01/12/2026):</t>
  </si>
  <si>
    <t>Folga até o prazo (dias):</t>
  </si>
  <si>
    <t>Detalhamento de Lotes por Torre</t>
  </si>
  <si>
    <t>Torre</t>
  </si>
  <si>
    <t>Lote</t>
  </si>
  <si>
    <t>Pavimentos</t>
  </si>
  <si>
    <t>m²</t>
  </si>
  <si>
    <t>Início Produção</t>
  </si>
  <si>
    <t>Fim Produção</t>
  </si>
  <si>
    <t>1</t>
  </si>
  <si>
    <t>6-9</t>
  </si>
  <si>
    <t>2</t>
  </si>
  <si>
    <t>10-13</t>
  </si>
  <si>
    <t>3</t>
  </si>
  <si>
    <t>14-17</t>
  </si>
  <si>
    <t>4</t>
  </si>
  <si>
    <t>18-21</t>
  </si>
  <si>
    <t>5</t>
  </si>
  <si>
    <t>22-25</t>
  </si>
  <si>
    <t>base</t>
  </si>
  <si>
    <t>—</t>
  </si>
  <si>
    <t>topo</t>
  </si>
  <si>
    <t>único</t>
  </si>
  <si>
    <t>Acompanhamento Semanal — Meta x Real</t>
  </si>
  <si>
    <t>Meta semanal (m²/semana):</t>
  </si>
  <si>
    <t>Data de início:</t>
  </si>
  <si>
    <t>Prazo final:</t>
  </si>
  <si>
    <t>Semana</t>
  </si>
  <si>
    <t>Data Início</t>
  </si>
  <si>
    <t>Data Fim</t>
  </si>
  <si>
    <t>Meta da Semana (m²)</t>
  </si>
  <si>
    <t>Meta Acumulada (m²)</t>
  </si>
  <si>
    <t>Real da Semana (m²)</t>
  </si>
  <si>
    <t>Real Acumulado (m²)</t>
  </si>
  <si>
    <t>Desvio (m²)</t>
  </si>
  <si>
    <t>Status</t>
  </si>
  <si>
    <t>Meta acumulada até o prazo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</si>
</sst>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i/>
      <sz val="10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14" fontId="5" fillId="0" borderId="0" xfId="0" applyNumberFormat="1" applyFont="1"/>
    <xf numFmtId="1" fontId="7" fillId="0" borderId="0" xfId="0" applyNumberFormat="1" applyFont="1"/>
    <xf numFmtId="0" fontId="0" fillId="0" borderId="1" xfId="0" applyBorder="1" applyAlignment="1">
      <alignment horizontal="center" vertical="center"/>
    </xf>
    <xf numFmtId="0" fontId="5" fillId="3" borderId="0" xfId="0" applyFont="1" applyFill="1"/>
    <xf numFmtId="14" fontId="5" fillId="3" borderId="0" xfId="0" applyNumberFormat="1" applyFont="1" applyFill="1"/>
    <xf numFmtId="165" fontId="7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3"/>
  <sheetViews>
    <sheetView tabSelected="1" workbookViewId="0">
      <selection activeCell="B2" sqref="B2:F13"/>
    </sheetView>
  </sheetViews>
  <sheetFormatPr defaultRowHeight="15" x14ac:dyDescent="0.25"/>
  <cols>
    <col min="2" max="2" width="67.7109375" bestFit="1" customWidth="1"/>
    <col min="3" max="3" width="16.85546875" customWidth="1"/>
    <col min="4" max="5" width="16" customWidth="1"/>
    <col min="6" max="6" width="20.5703125" bestFit="1" customWidth="1"/>
  </cols>
  <sheetData>
    <row r="2" spans="2:6" ht="18" x14ac:dyDescent="0.25">
      <c r="B2" s="1" t="s">
        <v>0</v>
      </c>
    </row>
    <row r="3" spans="2:6" x14ac:dyDescent="0.25">
      <c r="B3" s="2" t="s">
        <v>1</v>
      </c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 t="s">
        <v>7</v>
      </c>
      <c r="C6" s="5">
        <v>733</v>
      </c>
      <c r="D6" s="6">
        <v>46219</v>
      </c>
      <c r="E6" s="6">
        <v>46257</v>
      </c>
      <c r="F6" s="7">
        <f>(E6-D6)/7</f>
        <v>5.4285714285714288</v>
      </c>
    </row>
    <row r="7" spans="2:6" x14ac:dyDescent="0.25">
      <c r="B7" s="4" t="s">
        <v>8</v>
      </c>
      <c r="C7" s="5">
        <v>805</v>
      </c>
      <c r="D7" s="6">
        <v>46257</v>
      </c>
      <c r="E7" s="6">
        <v>46300</v>
      </c>
      <c r="F7" s="7">
        <f>(E7-D7)/7</f>
        <v>6.1428571428571432</v>
      </c>
    </row>
    <row r="8" spans="2:6" x14ac:dyDescent="0.25">
      <c r="B8" s="4" t="s">
        <v>9</v>
      </c>
      <c r="C8" s="5">
        <v>418</v>
      </c>
      <c r="D8" s="6">
        <v>46300</v>
      </c>
      <c r="E8" s="6">
        <v>46321</v>
      </c>
      <c r="F8" s="7">
        <f>(E8-D8)/7</f>
        <v>3</v>
      </c>
    </row>
    <row r="9" spans="2:6" x14ac:dyDescent="0.25">
      <c r="B9" s="4" t="s">
        <v>10</v>
      </c>
      <c r="C9" s="5">
        <v>471</v>
      </c>
      <c r="D9" s="6">
        <v>46321</v>
      </c>
      <c r="E9" s="6">
        <v>46347</v>
      </c>
      <c r="F9" s="7">
        <f>(E9-D9)/7</f>
        <v>3.7142857142857144</v>
      </c>
    </row>
    <row r="10" spans="2:6" x14ac:dyDescent="0.25">
      <c r="B10" s="8" t="s">
        <v>11</v>
      </c>
      <c r="C10" s="8">
        <f>SUM(C6:C9)</f>
        <v>2427</v>
      </c>
      <c r="D10" s="9">
        <f>D6</f>
        <v>46219</v>
      </c>
      <c r="E10" s="9">
        <f>E9</f>
        <v>46347</v>
      </c>
      <c r="F10" s="10">
        <f>(E10-D10)/7</f>
        <v>18.285714285714285</v>
      </c>
    </row>
    <row r="12" spans="2:6" x14ac:dyDescent="0.25">
      <c r="B12" s="11" t="s">
        <v>12</v>
      </c>
      <c r="C12" s="12">
        <v>46357</v>
      </c>
    </row>
    <row r="13" spans="2:6" x14ac:dyDescent="0.25">
      <c r="B13" s="11" t="s">
        <v>13</v>
      </c>
      <c r="C13" s="13">
        <f>C12-E10</f>
        <v>10</v>
      </c>
    </row>
  </sheetData>
  <pageMargins left="0.75" right="0.75" top="1" bottom="1" header="0.5" footer="0.5"/>
  <pageSetup scale="8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0"/>
  <sheetViews>
    <sheetView workbookViewId="0"/>
  </sheetViews>
  <sheetFormatPr defaultRowHeight="15" x14ac:dyDescent="0.25"/>
  <cols>
    <col min="2" max="2" width="14" customWidth="1"/>
    <col min="3" max="3" width="8" customWidth="1"/>
    <col min="4" max="4" width="12" customWidth="1"/>
    <col min="5" max="5" width="10" customWidth="1"/>
    <col min="6" max="7" width="16" customWidth="1"/>
  </cols>
  <sheetData>
    <row r="2" spans="2:7" ht="18" x14ac:dyDescent="0.25">
      <c r="B2" s="1" t="s">
        <v>14</v>
      </c>
    </row>
    <row r="4" spans="2:7" x14ac:dyDescent="0.25"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spans="2:7" x14ac:dyDescent="0.25">
      <c r="B5" s="14" t="s">
        <v>7</v>
      </c>
      <c r="C5" s="14" t="s">
        <v>21</v>
      </c>
      <c r="D5" s="14" t="s">
        <v>22</v>
      </c>
      <c r="E5" s="5">
        <v>114.1</v>
      </c>
      <c r="F5" s="6">
        <v>46219</v>
      </c>
      <c r="G5" s="6">
        <v>46225</v>
      </c>
    </row>
    <row r="6" spans="2:7" x14ac:dyDescent="0.25">
      <c r="B6" s="14" t="s">
        <v>7</v>
      </c>
      <c r="C6" s="14" t="s">
        <v>23</v>
      </c>
      <c r="D6" s="14" t="s">
        <v>24</v>
      </c>
      <c r="E6" s="5">
        <v>157.4</v>
      </c>
      <c r="F6" s="6">
        <v>46225</v>
      </c>
      <c r="G6" s="6">
        <v>46233</v>
      </c>
    </row>
    <row r="7" spans="2:7" x14ac:dyDescent="0.25">
      <c r="B7" s="14" t="s">
        <v>7</v>
      </c>
      <c r="C7" s="14" t="s">
        <v>25</v>
      </c>
      <c r="D7" s="14" t="s">
        <v>26</v>
      </c>
      <c r="E7" s="5">
        <v>151.80000000000001</v>
      </c>
      <c r="F7" s="6">
        <v>46233</v>
      </c>
      <c r="G7" s="6">
        <v>46241</v>
      </c>
    </row>
    <row r="8" spans="2:7" x14ac:dyDescent="0.25">
      <c r="B8" s="14" t="s">
        <v>7</v>
      </c>
      <c r="C8" s="14" t="s">
        <v>27</v>
      </c>
      <c r="D8" s="14" t="s">
        <v>28</v>
      </c>
      <c r="E8" s="5">
        <v>157.4</v>
      </c>
      <c r="F8" s="6">
        <v>46241</v>
      </c>
      <c r="G8" s="6">
        <v>46249</v>
      </c>
    </row>
    <row r="9" spans="2:7" x14ac:dyDescent="0.25">
      <c r="B9" s="14" t="s">
        <v>7</v>
      </c>
      <c r="C9" s="14" t="s">
        <v>29</v>
      </c>
      <c r="D9" s="14" t="s">
        <v>30</v>
      </c>
      <c r="E9" s="5">
        <v>151.80000000000001</v>
      </c>
      <c r="F9" s="6">
        <v>46249</v>
      </c>
      <c r="G9" s="6">
        <v>46257</v>
      </c>
    </row>
    <row r="10" spans="2:7" x14ac:dyDescent="0.25">
      <c r="B10" s="14" t="s">
        <v>8</v>
      </c>
      <c r="C10" s="14" t="s">
        <v>21</v>
      </c>
      <c r="D10" s="14" t="s">
        <v>22</v>
      </c>
      <c r="E10" s="5">
        <v>163.5</v>
      </c>
      <c r="F10" s="6">
        <v>46257</v>
      </c>
      <c r="G10" s="6">
        <v>46266</v>
      </c>
    </row>
    <row r="11" spans="2:7" x14ac:dyDescent="0.25">
      <c r="B11" s="14" t="s">
        <v>8</v>
      </c>
      <c r="C11" s="14" t="s">
        <v>23</v>
      </c>
      <c r="D11" s="14" t="s">
        <v>24</v>
      </c>
      <c r="E11" s="5">
        <v>163.19999999999999</v>
      </c>
      <c r="F11" s="6">
        <v>46266</v>
      </c>
      <c r="G11" s="6">
        <v>46275</v>
      </c>
    </row>
    <row r="12" spans="2:7" x14ac:dyDescent="0.25">
      <c r="B12" s="14" t="s">
        <v>8</v>
      </c>
      <c r="C12" s="14" t="s">
        <v>25</v>
      </c>
      <c r="D12" s="14" t="s">
        <v>26</v>
      </c>
      <c r="E12" s="5">
        <v>157.4</v>
      </c>
      <c r="F12" s="6">
        <v>46275</v>
      </c>
      <c r="G12" s="6">
        <v>46283</v>
      </c>
    </row>
    <row r="13" spans="2:7" x14ac:dyDescent="0.25">
      <c r="B13" s="14" t="s">
        <v>8</v>
      </c>
      <c r="C13" s="14" t="s">
        <v>27</v>
      </c>
      <c r="D13" s="14" t="s">
        <v>28</v>
      </c>
      <c r="E13" s="5">
        <v>163.19999999999999</v>
      </c>
      <c r="F13" s="6">
        <v>46283</v>
      </c>
      <c r="G13" s="6">
        <v>46292</v>
      </c>
    </row>
    <row r="14" spans="2:7" x14ac:dyDescent="0.25">
      <c r="B14" s="14" t="s">
        <v>8</v>
      </c>
      <c r="C14" s="14" t="s">
        <v>29</v>
      </c>
      <c r="D14" s="14" t="s">
        <v>30</v>
      </c>
      <c r="E14" s="5">
        <v>157.4</v>
      </c>
      <c r="F14" s="6">
        <v>46292</v>
      </c>
      <c r="G14" s="6">
        <v>46300</v>
      </c>
    </row>
    <row r="15" spans="2:7" x14ac:dyDescent="0.25">
      <c r="B15" s="14" t="s">
        <v>9</v>
      </c>
      <c r="C15" s="14" t="s">
        <v>21</v>
      </c>
      <c r="D15" s="14" t="s">
        <v>31</v>
      </c>
      <c r="E15" s="5">
        <v>89.4</v>
      </c>
      <c r="F15" s="6">
        <v>46300</v>
      </c>
      <c r="G15" s="6">
        <v>46305</v>
      </c>
    </row>
    <row r="16" spans="2:7" x14ac:dyDescent="0.25">
      <c r="B16" s="14" t="s">
        <v>9</v>
      </c>
      <c r="C16" s="14" t="s">
        <v>23</v>
      </c>
      <c r="D16" s="14" t="s">
        <v>32</v>
      </c>
      <c r="E16" s="5">
        <v>78.400000000000006</v>
      </c>
      <c r="F16" s="6">
        <v>46305</v>
      </c>
      <c r="G16" s="6">
        <v>46309</v>
      </c>
    </row>
    <row r="17" spans="2:7" x14ac:dyDescent="0.25">
      <c r="B17" s="14" t="s">
        <v>9</v>
      </c>
      <c r="C17" s="14" t="s">
        <v>25</v>
      </c>
      <c r="D17" s="14" t="s">
        <v>32</v>
      </c>
      <c r="E17" s="5">
        <v>85.9</v>
      </c>
      <c r="F17" s="6">
        <v>46309</v>
      </c>
      <c r="G17" s="6">
        <v>46313</v>
      </c>
    </row>
    <row r="18" spans="2:7" x14ac:dyDescent="0.25">
      <c r="B18" s="14" t="s">
        <v>9</v>
      </c>
      <c r="C18" s="14" t="s">
        <v>27</v>
      </c>
      <c r="D18" s="14" t="s">
        <v>32</v>
      </c>
      <c r="E18" s="5">
        <v>78.400000000000006</v>
      </c>
      <c r="F18" s="6">
        <v>46313</v>
      </c>
      <c r="G18" s="6">
        <v>46317</v>
      </c>
    </row>
    <row r="19" spans="2:7" x14ac:dyDescent="0.25">
      <c r="B19" s="14" t="s">
        <v>9</v>
      </c>
      <c r="C19" s="14" t="s">
        <v>29</v>
      </c>
      <c r="D19" s="14" t="s">
        <v>33</v>
      </c>
      <c r="E19" s="5">
        <v>85.9</v>
      </c>
      <c r="F19" s="6">
        <v>46317</v>
      </c>
      <c r="G19" s="6">
        <v>46321</v>
      </c>
    </row>
    <row r="20" spans="2:7" x14ac:dyDescent="0.25">
      <c r="B20" s="14" t="s">
        <v>10</v>
      </c>
      <c r="C20" s="14" t="s">
        <v>34</v>
      </c>
      <c r="D20" s="14" t="s">
        <v>32</v>
      </c>
      <c r="E20" s="5">
        <v>471</v>
      </c>
      <c r="F20" s="6">
        <v>46321</v>
      </c>
      <c r="G20" s="6">
        <v>46347</v>
      </c>
    </row>
  </sheetData>
  <pageMargins left="0.75" right="0.75" top="1" bottom="1" header="0.5" footer="0.5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1"/>
  <sheetViews>
    <sheetView workbookViewId="0"/>
  </sheetViews>
  <sheetFormatPr defaultRowHeight="15" x14ac:dyDescent="0.25"/>
  <cols>
    <col min="2" max="2" width="9" customWidth="1"/>
    <col min="3" max="4" width="13" customWidth="1"/>
    <col min="5" max="5" width="16" customWidth="1"/>
    <col min="6" max="8" width="17" customWidth="1"/>
    <col min="9" max="9" width="12" customWidth="1"/>
    <col min="10" max="10" width="11" customWidth="1"/>
  </cols>
  <sheetData>
    <row r="2" spans="2:10" ht="18" x14ac:dyDescent="0.25">
      <c r="B2" s="1" t="s">
        <v>35</v>
      </c>
    </row>
    <row r="4" spans="2:10" x14ac:dyDescent="0.25">
      <c r="B4" s="11" t="s">
        <v>36</v>
      </c>
      <c r="C4" s="15">
        <v>123</v>
      </c>
    </row>
    <row r="5" spans="2:10" x14ac:dyDescent="0.25">
      <c r="B5" s="11" t="s">
        <v>37</v>
      </c>
      <c r="C5" s="16">
        <v>46219</v>
      </c>
    </row>
    <row r="6" spans="2:10" x14ac:dyDescent="0.25">
      <c r="B6" s="11" t="s">
        <v>38</v>
      </c>
      <c r="C6" s="16">
        <v>46357</v>
      </c>
    </row>
    <row r="8" spans="2:10" x14ac:dyDescent="0.25"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</row>
    <row r="9" spans="2:10" x14ac:dyDescent="0.25">
      <c r="B9" s="14">
        <v>1</v>
      </c>
      <c r="C9" s="6">
        <f>$C$5</f>
        <v>46219</v>
      </c>
      <c r="D9" s="6">
        <f t="shared" ref="D9:D29" si="0">C9+6</f>
        <v>46225</v>
      </c>
      <c r="E9" s="17">
        <f t="shared" ref="E9:E29" si="1">$C$4</f>
        <v>123</v>
      </c>
      <c r="F9" s="17">
        <f>SUM($E$9:E9)</f>
        <v>123</v>
      </c>
      <c r="G9" s="18"/>
      <c r="H9" s="17">
        <f>SUM($G$9:G9)</f>
        <v>0</v>
      </c>
      <c r="I9" s="17">
        <f t="shared" ref="I9:I29" si="2">H9-F9</f>
        <v>-123</v>
      </c>
      <c r="J9" s="14" t="str">
        <f t="shared" ref="J9:J29" si="3">IF(G9=0,"—",IF(I9&gt;=0,"OK","ATENÇÃO"))</f>
        <v>—</v>
      </c>
    </row>
    <row r="10" spans="2:10" x14ac:dyDescent="0.25">
      <c r="B10" s="14">
        <v>2</v>
      </c>
      <c r="C10" s="6">
        <f t="shared" ref="C10:C29" si="4">D9</f>
        <v>46225</v>
      </c>
      <c r="D10" s="6">
        <f t="shared" si="0"/>
        <v>46231</v>
      </c>
      <c r="E10" s="17">
        <f t="shared" si="1"/>
        <v>123</v>
      </c>
      <c r="F10" s="17">
        <f>SUM($E$9:E10)</f>
        <v>246</v>
      </c>
      <c r="G10" s="18"/>
      <c r="H10" s="17">
        <f>SUM($G$9:G10)</f>
        <v>0</v>
      </c>
      <c r="I10" s="17">
        <f t="shared" si="2"/>
        <v>-246</v>
      </c>
      <c r="J10" s="14" t="str">
        <f t="shared" si="3"/>
        <v>—</v>
      </c>
    </row>
    <row r="11" spans="2:10" x14ac:dyDescent="0.25">
      <c r="B11" s="14">
        <v>3</v>
      </c>
      <c r="C11" s="6">
        <f t="shared" si="4"/>
        <v>46231</v>
      </c>
      <c r="D11" s="6">
        <f t="shared" si="0"/>
        <v>46237</v>
      </c>
      <c r="E11" s="17">
        <f t="shared" si="1"/>
        <v>123</v>
      </c>
      <c r="F11" s="17">
        <f>SUM($E$9:E11)</f>
        <v>369</v>
      </c>
      <c r="G11" s="18"/>
      <c r="H11" s="17">
        <f>SUM($G$9:G11)</f>
        <v>0</v>
      </c>
      <c r="I11" s="17">
        <f t="shared" si="2"/>
        <v>-369</v>
      </c>
      <c r="J11" s="14" t="str">
        <f t="shared" si="3"/>
        <v>—</v>
      </c>
    </row>
    <row r="12" spans="2:10" x14ac:dyDescent="0.25">
      <c r="B12" s="14">
        <v>4</v>
      </c>
      <c r="C12" s="6">
        <f t="shared" si="4"/>
        <v>46237</v>
      </c>
      <c r="D12" s="6">
        <f t="shared" si="0"/>
        <v>46243</v>
      </c>
      <c r="E12" s="17">
        <f t="shared" si="1"/>
        <v>123</v>
      </c>
      <c r="F12" s="17">
        <f>SUM($E$9:E12)</f>
        <v>492</v>
      </c>
      <c r="G12" s="18"/>
      <c r="H12" s="17">
        <f>SUM($G$9:G12)</f>
        <v>0</v>
      </c>
      <c r="I12" s="17">
        <f t="shared" si="2"/>
        <v>-492</v>
      </c>
      <c r="J12" s="14" t="str">
        <f t="shared" si="3"/>
        <v>—</v>
      </c>
    </row>
    <row r="13" spans="2:10" x14ac:dyDescent="0.25">
      <c r="B13" s="14">
        <v>5</v>
      </c>
      <c r="C13" s="6">
        <f t="shared" si="4"/>
        <v>46243</v>
      </c>
      <c r="D13" s="6">
        <f t="shared" si="0"/>
        <v>46249</v>
      </c>
      <c r="E13" s="17">
        <f t="shared" si="1"/>
        <v>123</v>
      </c>
      <c r="F13" s="17">
        <f>SUM($E$9:E13)</f>
        <v>615</v>
      </c>
      <c r="G13" s="18"/>
      <c r="H13" s="17">
        <f>SUM($G$9:G13)</f>
        <v>0</v>
      </c>
      <c r="I13" s="17">
        <f t="shared" si="2"/>
        <v>-615</v>
      </c>
      <c r="J13" s="14" t="str">
        <f t="shared" si="3"/>
        <v>—</v>
      </c>
    </row>
    <row r="14" spans="2:10" x14ac:dyDescent="0.25">
      <c r="B14" s="14">
        <v>6</v>
      </c>
      <c r="C14" s="6">
        <f t="shared" si="4"/>
        <v>46249</v>
      </c>
      <c r="D14" s="6">
        <f t="shared" si="0"/>
        <v>46255</v>
      </c>
      <c r="E14" s="17">
        <f t="shared" si="1"/>
        <v>123</v>
      </c>
      <c r="F14" s="17">
        <f>SUM($E$9:E14)</f>
        <v>738</v>
      </c>
      <c r="G14" s="18"/>
      <c r="H14" s="17">
        <f>SUM($G$9:G14)</f>
        <v>0</v>
      </c>
      <c r="I14" s="17">
        <f t="shared" si="2"/>
        <v>-738</v>
      </c>
      <c r="J14" s="14" t="str">
        <f t="shared" si="3"/>
        <v>—</v>
      </c>
    </row>
    <row r="15" spans="2:10" x14ac:dyDescent="0.25">
      <c r="B15" s="14">
        <v>7</v>
      </c>
      <c r="C15" s="6">
        <f t="shared" si="4"/>
        <v>46255</v>
      </c>
      <c r="D15" s="6">
        <f t="shared" si="0"/>
        <v>46261</v>
      </c>
      <c r="E15" s="17">
        <f t="shared" si="1"/>
        <v>123</v>
      </c>
      <c r="F15" s="17">
        <f>SUM($E$9:E15)</f>
        <v>861</v>
      </c>
      <c r="G15" s="18"/>
      <c r="H15" s="17">
        <f>SUM($G$9:G15)</f>
        <v>0</v>
      </c>
      <c r="I15" s="17">
        <f t="shared" si="2"/>
        <v>-861</v>
      </c>
      <c r="J15" s="14" t="str">
        <f t="shared" si="3"/>
        <v>—</v>
      </c>
    </row>
    <row r="16" spans="2:10" x14ac:dyDescent="0.25">
      <c r="B16" s="14">
        <v>8</v>
      </c>
      <c r="C16" s="6">
        <f t="shared" si="4"/>
        <v>46261</v>
      </c>
      <c r="D16" s="6">
        <f t="shared" si="0"/>
        <v>46267</v>
      </c>
      <c r="E16" s="17">
        <f t="shared" si="1"/>
        <v>123</v>
      </c>
      <c r="F16" s="17">
        <f>SUM($E$9:E16)</f>
        <v>984</v>
      </c>
      <c r="G16" s="18"/>
      <c r="H16" s="17">
        <f>SUM($G$9:G16)</f>
        <v>0</v>
      </c>
      <c r="I16" s="17">
        <f t="shared" si="2"/>
        <v>-984</v>
      </c>
      <c r="J16" s="14" t="str">
        <f t="shared" si="3"/>
        <v>—</v>
      </c>
    </row>
    <row r="17" spans="2:10" x14ac:dyDescent="0.25">
      <c r="B17" s="14">
        <v>9</v>
      </c>
      <c r="C17" s="6">
        <f t="shared" si="4"/>
        <v>46267</v>
      </c>
      <c r="D17" s="6">
        <f t="shared" si="0"/>
        <v>46273</v>
      </c>
      <c r="E17" s="17">
        <f t="shared" si="1"/>
        <v>123</v>
      </c>
      <c r="F17" s="17">
        <f>SUM($E$9:E17)</f>
        <v>1107</v>
      </c>
      <c r="G17" s="18"/>
      <c r="H17" s="17">
        <f>SUM($G$9:G17)</f>
        <v>0</v>
      </c>
      <c r="I17" s="17">
        <f t="shared" si="2"/>
        <v>-1107</v>
      </c>
      <c r="J17" s="14" t="str">
        <f t="shared" si="3"/>
        <v>—</v>
      </c>
    </row>
    <row r="18" spans="2:10" x14ac:dyDescent="0.25">
      <c r="B18" s="14">
        <v>10</v>
      </c>
      <c r="C18" s="6">
        <f t="shared" si="4"/>
        <v>46273</v>
      </c>
      <c r="D18" s="6">
        <f t="shared" si="0"/>
        <v>46279</v>
      </c>
      <c r="E18" s="17">
        <f t="shared" si="1"/>
        <v>123</v>
      </c>
      <c r="F18" s="17">
        <f>SUM($E$9:E18)</f>
        <v>1230</v>
      </c>
      <c r="G18" s="18"/>
      <c r="H18" s="17">
        <f>SUM($G$9:G18)</f>
        <v>0</v>
      </c>
      <c r="I18" s="17">
        <f t="shared" si="2"/>
        <v>-1230</v>
      </c>
      <c r="J18" s="14" t="str">
        <f t="shared" si="3"/>
        <v>—</v>
      </c>
    </row>
    <row r="19" spans="2:10" x14ac:dyDescent="0.25">
      <c r="B19" s="14">
        <v>11</v>
      </c>
      <c r="C19" s="6">
        <f t="shared" si="4"/>
        <v>46279</v>
      </c>
      <c r="D19" s="6">
        <f t="shared" si="0"/>
        <v>46285</v>
      </c>
      <c r="E19" s="17">
        <f t="shared" si="1"/>
        <v>123</v>
      </c>
      <c r="F19" s="17">
        <f>SUM($E$9:E19)</f>
        <v>1353</v>
      </c>
      <c r="G19" s="18"/>
      <c r="H19" s="17">
        <f>SUM($G$9:G19)</f>
        <v>0</v>
      </c>
      <c r="I19" s="17">
        <f t="shared" si="2"/>
        <v>-1353</v>
      </c>
      <c r="J19" s="14" t="str">
        <f t="shared" si="3"/>
        <v>—</v>
      </c>
    </row>
    <row r="20" spans="2:10" x14ac:dyDescent="0.25">
      <c r="B20" s="14">
        <v>12</v>
      </c>
      <c r="C20" s="6">
        <f t="shared" si="4"/>
        <v>46285</v>
      </c>
      <c r="D20" s="6">
        <f t="shared" si="0"/>
        <v>46291</v>
      </c>
      <c r="E20" s="17">
        <f t="shared" si="1"/>
        <v>123</v>
      </c>
      <c r="F20" s="17">
        <f>SUM($E$9:E20)</f>
        <v>1476</v>
      </c>
      <c r="G20" s="18"/>
      <c r="H20" s="17">
        <f>SUM($G$9:G20)</f>
        <v>0</v>
      </c>
      <c r="I20" s="17">
        <f t="shared" si="2"/>
        <v>-1476</v>
      </c>
      <c r="J20" s="14" t="str">
        <f t="shared" si="3"/>
        <v>—</v>
      </c>
    </row>
    <row r="21" spans="2:10" x14ac:dyDescent="0.25">
      <c r="B21" s="14">
        <v>13</v>
      </c>
      <c r="C21" s="6">
        <f t="shared" si="4"/>
        <v>46291</v>
      </c>
      <c r="D21" s="6">
        <f t="shared" si="0"/>
        <v>46297</v>
      </c>
      <c r="E21" s="17">
        <f t="shared" si="1"/>
        <v>123</v>
      </c>
      <c r="F21" s="17">
        <f>SUM($E$9:E21)</f>
        <v>1599</v>
      </c>
      <c r="G21" s="18"/>
      <c r="H21" s="17">
        <f>SUM($G$9:G21)</f>
        <v>0</v>
      </c>
      <c r="I21" s="17">
        <f t="shared" si="2"/>
        <v>-1599</v>
      </c>
      <c r="J21" s="14" t="str">
        <f t="shared" si="3"/>
        <v>—</v>
      </c>
    </row>
    <row r="22" spans="2:10" x14ac:dyDescent="0.25">
      <c r="B22" s="14">
        <v>14</v>
      </c>
      <c r="C22" s="6">
        <f t="shared" si="4"/>
        <v>46297</v>
      </c>
      <c r="D22" s="6">
        <f t="shared" si="0"/>
        <v>46303</v>
      </c>
      <c r="E22" s="17">
        <f t="shared" si="1"/>
        <v>123</v>
      </c>
      <c r="F22" s="17">
        <f>SUM($E$9:E22)</f>
        <v>1722</v>
      </c>
      <c r="G22" s="18"/>
      <c r="H22" s="17">
        <f>SUM($G$9:G22)</f>
        <v>0</v>
      </c>
      <c r="I22" s="17">
        <f t="shared" si="2"/>
        <v>-1722</v>
      </c>
      <c r="J22" s="14" t="str">
        <f t="shared" si="3"/>
        <v>—</v>
      </c>
    </row>
    <row r="23" spans="2:10" x14ac:dyDescent="0.25">
      <c r="B23" s="14">
        <v>15</v>
      </c>
      <c r="C23" s="6">
        <f t="shared" si="4"/>
        <v>46303</v>
      </c>
      <c r="D23" s="6">
        <f t="shared" si="0"/>
        <v>46309</v>
      </c>
      <c r="E23" s="17">
        <f t="shared" si="1"/>
        <v>123</v>
      </c>
      <c r="F23" s="17">
        <f>SUM($E$9:E23)</f>
        <v>1845</v>
      </c>
      <c r="G23" s="18"/>
      <c r="H23" s="17">
        <f>SUM($G$9:G23)</f>
        <v>0</v>
      </c>
      <c r="I23" s="17">
        <f t="shared" si="2"/>
        <v>-1845</v>
      </c>
      <c r="J23" s="14" t="str">
        <f t="shared" si="3"/>
        <v>—</v>
      </c>
    </row>
    <row r="24" spans="2:10" x14ac:dyDescent="0.25">
      <c r="B24" s="14">
        <v>16</v>
      </c>
      <c r="C24" s="6">
        <f t="shared" si="4"/>
        <v>46309</v>
      </c>
      <c r="D24" s="6">
        <f t="shared" si="0"/>
        <v>46315</v>
      </c>
      <c r="E24" s="17">
        <f t="shared" si="1"/>
        <v>123</v>
      </c>
      <c r="F24" s="17">
        <f>SUM($E$9:E24)</f>
        <v>1968</v>
      </c>
      <c r="G24" s="18"/>
      <c r="H24" s="17">
        <f>SUM($G$9:G24)</f>
        <v>0</v>
      </c>
      <c r="I24" s="17">
        <f t="shared" si="2"/>
        <v>-1968</v>
      </c>
      <c r="J24" s="14" t="str">
        <f t="shared" si="3"/>
        <v>—</v>
      </c>
    </row>
    <row r="25" spans="2:10" x14ac:dyDescent="0.25">
      <c r="B25" s="14">
        <v>17</v>
      </c>
      <c r="C25" s="6">
        <f t="shared" si="4"/>
        <v>46315</v>
      </c>
      <c r="D25" s="6">
        <f t="shared" si="0"/>
        <v>46321</v>
      </c>
      <c r="E25" s="17">
        <f t="shared" si="1"/>
        <v>123</v>
      </c>
      <c r="F25" s="17">
        <f>SUM($E$9:E25)</f>
        <v>2091</v>
      </c>
      <c r="G25" s="18"/>
      <c r="H25" s="17">
        <f>SUM($G$9:G25)</f>
        <v>0</v>
      </c>
      <c r="I25" s="17">
        <f t="shared" si="2"/>
        <v>-2091</v>
      </c>
      <c r="J25" s="14" t="str">
        <f t="shared" si="3"/>
        <v>—</v>
      </c>
    </row>
    <row r="26" spans="2:10" x14ac:dyDescent="0.25">
      <c r="B26" s="14">
        <v>18</v>
      </c>
      <c r="C26" s="6">
        <f t="shared" si="4"/>
        <v>46321</v>
      </c>
      <c r="D26" s="6">
        <f t="shared" si="0"/>
        <v>46327</v>
      </c>
      <c r="E26" s="17">
        <f t="shared" si="1"/>
        <v>123</v>
      </c>
      <c r="F26" s="17">
        <f>SUM($E$9:E26)</f>
        <v>2214</v>
      </c>
      <c r="G26" s="18"/>
      <c r="H26" s="17">
        <f>SUM($G$9:G26)</f>
        <v>0</v>
      </c>
      <c r="I26" s="17">
        <f t="shared" si="2"/>
        <v>-2214</v>
      </c>
      <c r="J26" s="14" t="str">
        <f t="shared" si="3"/>
        <v>—</v>
      </c>
    </row>
    <row r="27" spans="2:10" x14ac:dyDescent="0.25">
      <c r="B27" s="14">
        <v>19</v>
      </c>
      <c r="C27" s="6">
        <f t="shared" si="4"/>
        <v>46327</v>
      </c>
      <c r="D27" s="6">
        <f t="shared" si="0"/>
        <v>46333</v>
      </c>
      <c r="E27" s="17">
        <f t="shared" si="1"/>
        <v>123</v>
      </c>
      <c r="F27" s="17">
        <f>SUM($E$9:E27)</f>
        <v>2337</v>
      </c>
      <c r="G27" s="18"/>
      <c r="H27" s="17">
        <f>SUM($G$9:G27)</f>
        <v>0</v>
      </c>
      <c r="I27" s="17">
        <f t="shared" si="2"/>
        <v>-2337</v>
      </c>
      <c r="J27" s="14" t="str">
        <f t="shared" si="3"/>
        <v>—</v>
      </c>
    </row>
    <row r="28" spans="2:10" x14ac:dyDescent="0.25">
      <c r="B28" s="14">
        <v>20</v>
      </c>
      <c r="C28" s="6">
        <f t="shared" si="4"/>
        <v>46333</v>
      </c>
      <c r="D28" s="6">
        <f t="shared" si="0"/>
        <v>46339</v>
      </c>
      <c r="E28" s="17">
        <f t="shared" si="1"/>
        <v>123</v>
      </c>
      <c r="F28" s="17">
        <f>SUM($E$9:E28)</f>
        <v>2460</v>
      </c>
      <c r="G28" s="18"/>
      <c r="H28" s="17">
        <f>SUM($G$9:G28)</f>
        <v>0</v>
      </c>
      <c r="I28" s="17">
        <f t="shared" si="2"/>
        <v>-2460</v>
      </c>
      <c r="J28" s="14" t="str">
        <f t="shared" si="3"/>
        <v>—</v>
      </c>
    </row>
    <row r="29" spans="2:10" x14ac:dyDescent="0.25">
      <c r="B29" s="14">
        <v>21</v>
      </c>
      <c r="C29" s="6">
        <f t="shared" si="4"/>
        <v>46339</v>
      </c>
      <c r="D29" s="6">
        <f t="shared" si="0"/>
        <v>46345</v>
      </c>
      <c r="E29" s="17">
        <f t="shared" si="1"/>
        <v>123</v>
      </c>
      <c r="F29" s="17">
        <f>SUM($E$9:E29)</f>
        <v>2583</v>
      </c>
      <c r="G29" s="18"/>
      <c r="H29" s="17">
        <f>SUM($G$9:G29)</f>
        <v>0</v>
      </c>
      <c r="I29" s="17">
        <f t="shared" si="2"/>
        <v>-2583</v>
      </c>
      <c r="J29" s="14" t="str">
        <f t="shared" si="3"/>
        <v>—</v>
      </c>
    </row>
    <row r="31" spans="2:10" x14ac:dyDescent="0.25">
      <c r="B31" s="11" t="s">
        <v>48</v>
      </c>
      <c r="E31" s="19">
        <f>($C$6-$C$5)/7*C4</f>
        <v>2424.8571428571431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do Plano</vt:lpstr>
      <vt:lpstr>Lotes por Pavimento</vt:lpstr>
      <vt:lpstr>Acompanhamento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2026-07-01T17:35:06Z</cp:lastPrinted>
  <dcterms:created xsi:type="dcterms:W3CDTF">2026-07-01T17:31:47Z</dcterms:created>
  <dcterms:modified xsi:type="dcterms:W3CDTF">2026-07-01T17:35:08Z</dcterms:modified>
</cp:coreProperties>
</file>